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MG REQUIREMENT" sheetId="2" state="visible" r:id="rId2"/>
  </sheets>
  <definedNames>
    <definedName name="_xlnm._FilterDatabase" localSheetId="1" hidden="1">'RMG REQUIREMENT'!$A$1:$O$11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9"/>
    </font>
    <font>
      <name val="Segoe UI"/>
      <b val="1"/>
      <color rgb="001E3A8A"/>
      <sz val="2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0F172A"/>
      <sz val="10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AF5FF"/>
        <bgColor rgb="00FAF5FF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</fills>
  <borders count="7">
    <border>
      <left/>
      <right/>
      <top/>
      <bottom/>
      <diagonal/>
    </border>
    <border>
      <left style="medium">
        <color rgb="003B82F6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right" vertical="center"/>
    </xf>
    <xf numFmtId="0" fontId="7" fillId="8" borderId="5" applyAlignment="1" pivotButton="0" quotePrefix="0" xfId="0">
      <alignment horizontal="left" vertical="center"/>
    </xf>
    <xf numFmtId="3" fontId="7" fillId="8" borderId="5" applyAlignment="1" pivotButton="0" quotePrefix="0" xfId="0">
      <alignment horizontal="right" vertical="center"/>
    </xf>
    <xf numFmtId="164" fontId="7" fillId="8" borderId="5" applyAlignment="1" pivotButton="0" quotePrefix="0" xfId="0">
      <alignment horizontal="right" vertical="center"/>
    </xf>
    <xf numFmtId="0" fontId="7" fillId="0" borderId="5" applyAlignment="1" pivotButton="0" quotePrefix="0" xfId="0">
      <alignment horizontal="left" vertical="center"/>
    </xf>
    <xf numFmtId="3" fontId="7" fillId="0" borderId="5" applyAlignment="1" pivotButton="0" quotePrefix="0" xfId="0">
      <alignment horizontal="right" vertical="center"/>
    </xf>
    <xf numFmtId="164" fontId="7" fillId="0" borderId="5" applyAlignment="1" pivotButton="0" quotePrefix="0" xfId="0">
      <alignment horizontal="right" vertical="center"/>
    </xf>
    <xf numFmtId="0" fontId="8" fillId="9" borderId="6" applyAlignment="1" pivotButton="0" quotePrefix="0" xfId="0">
      <alignment horizontal="left" vertical="center"/>
    </xf>
    <xf numFmtId="3" fontId="8" fillId="9" borderId="6" applyAlignment="1" pivotButton="0" quotePrefix="0" xfId="0">
      <alignment horizontal="right" vertical="center"/>
    </xf>
    <xf numFmtId="164" fontId="8" fillId="9" borderId="6" applyAlignment="1" pivotButton="0" quotePrefix="0" xfId="0">
      <alignment horizontal="right" vertical="center"/>
    </xf>
    <xf numFmtId="0" fontId="6" fillId="2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left" vertical="center"/>
    </xf>
    <xf numFmtId="3" fontId="7" fillId="10" borderId="5" applyAlignment="1" pivotButton="0" quotePrefix="0" xfId="0">
      <alignment horizontal="right" vertical="center"/>
    </xf>
    <xf numFmtId="3" fontId="8" fillId="9" borderId="5" applyAlignment="1" pivotButton="0" quotePrefix="0" xfId="0">
      <alignment horizontal="right" vertical="center"/>
    </xf>
    <xf numFmtId="0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20" customWidth="1" min="4" max="4"/>
    <col width="12" customWidth="1" min="5" max="5"/>
    <col width="41" customWidth="1" min="6" max="6"/>
    <col width="16" customWidth="1" min="7" max="7"/>
    <col width="25" customWidth="1" min="8" max="8"/>
    <col width="25" customWidth="1" min="9" max="9"/>
    <col width="18" customWidth="1" min="10" max="10"/>
    <col width="20" customWidth="1" min="11" max="11"/>
    <col width="16" customWidth="1" min="12" max="12"/>
    <col width="24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TALENT ALIGNMENT EXECUTIVE DASHBOARD</t>
        </is>
      </c>
    </row>
    <row r="2"/>
    <row r="3">
      <c r="A3" s="2" t="inlineStr">
        <is>
          <t>Workforce Demand, Supply &amp; Cross-Stream Fulfilment Analytics | Batch: Batch-2026 | Generated: 06-Sep-2026 16:51</t>
        </is>
      </c>
    </row>
    <row r="4"/>
    <row r="5">
      <c r="A5" s="3" t="inlineStr">
        <is>
          <t>TOTAL DEMAND</t>
        </is>
      </c>
      <c r="B5" s="4" t="n"/>
      <c r="D5" s="5" t="inlineStr">
        <is>
          <t>SUPPLY COMPLETED</t>
        </is>
      </c>
      <c r="E5" s="4" t="n"/>
      <c r="G5" s="5" t="inlineStr">
        <is>
          <t>DEMAND MET %</t>
        </is>
      </c>
      <c r="H5" s="4" t="n"/>
      <c r="J5" s="6" t="inlineStr">
        <is>
          <t>RMG FULFILMENT</t>
        </is>
      </c>
      <c r="K5" s="4" t="n"/>
      <c r="M5" s="6" t="inlineStr">
        <is>
          <t>DIRECT BU FULFILMENT</t>
        </is>
      </c>
      <c r="N5" s="4" t="n"/>
    </row>
    <row r="6">
      <c r="A6" s="7" t="inlineStr">
        <is>
          <t>76</t>
        </is>
      </c>
      <c r="B6" s="4" t="n"/>
      <c r="D6" s="8" t="inlineStr">
        <is>
          <t>64</t>
        </is>
      </c>
      <c r="E6" s="4" t="n"/>
      <c r="G6" s="8" t="inlineStr">
        <is>
          <t>84.2% (0.84)</t>
        </is>
      </c>
      <c r="H6" s="4" t="n"/>
      <c r="J6" s="9" t="inlineStr">
        <is>
          <t>83.9%</t>
        </is>
      </c>
      <c r="K6" s="4" t="n"/>
      <c r="M6" s="9" t="inlineStr">
        <is>
          <t>84.4%</t>
        </is>
      </c>
      <c r="N6" s="4" t="n"/>
    </row>
    <row r="7"/>
    <row r="8">
      <c r="A8" s="10" t="inlineStr">
        <is>
          <t>SECTION 1: DEMAND VS SUPPLY BY BG</t>
        </is>
      </c>
      <c r="F8" s="10" t="inlineStr">
        <is>
          <t>SECTION 2: ROLE WISE DEMAND VS SUPPLY</t>
        </is>
      </c>
    </row>
    <row r="9">
      <c r="A9" s="11" t="inlineStr">
        <is>
          <t>BG</t>
        </is>
      </c>
      <c r="B9" s="12" t="inlineStr">
        <is>
          <t>Demand Count</t>
        </is>
      </c>
      <c r="C9" s="12" t="inlineStr">
        <is>
          <t>Supply Completed</t>
        </is>
      </c>
      <c r="D9" s="12" t="inlineStr">
        <is>
          <t>Fulfilment %</t>
        </is>
      </c>
      <c r="F9" s="11" t="inlineStr">
        <is>
          <t>Role</t>
        </is>
      </c>
      <c r="G9" s="12" t="inlineStr">
        <is>
          <t>Demand Count</t>
        </is>
      </c>
      <c r="H9" s="12" t="inlineStr">
        <is>
          <t>Supply Completed</t>
        </is>
      </c>
      <c r="I9" s="12" t="inlineStr">
        <is>
          <t>Fulfilment %</t>
        </is>
      </c>
    </row>
    <row r="10">
      <c r="A10" s="13" t="inlineStr">
        <is>
          <t>CBG</t>
        </is>
      </c>
      <c r="B10" s="14" t="n">
        <v>20</v>
      </c>
      <c r="C10" s="14" t="n">
        <v>17</v>
      </c>
      <c r="D10" s="15">
        <f>C10/B10</f>
        <v/>
      </c>
      <c r="F10" s="16" t="inlineStr">
        <is>
          <t>Developer</t>
        </is>
      </c>
      <c r="G10" s="17" t="n">
        <v>49</v>
      </c>
      <c r="H10" s="17" t="n">
        <v>40</v>
      </c>
      <c r="I10" s="18">
        <f>H10/G10</f>
        <v/>
      </c>
    </row>
    <row r="11">
      <c r="A11" s="16" t="inlineStr">
        <is>
          <t>Growth Markets</t>
        </is>
      </c>
      <c r="B11" s="17" t="n">
        <v>16</v>
      </c>
      <c r="C11" s="17" t="n">
        <v>13</v>
      </c>
      <c r="D11" s="18">
        <f>C11/B11</f>
        <v/>
      </c>
      <c r="F11" s="13" t="inlineStr">
        <is>
          <t>QA</t>
        </is>
      </c>
      <c r="G11" s="14" t="n">
        <v>9</v>
      </c>
      <c r="H11" s="14" t="n">
        <v>8</v>
      </c>
      <c r="I11" s="15">
        <f>H11/G11</f>
        <v/>
      </c>
    </row>
    <row r="12">
      <c r="A12" s="16" t="inlineStr">
        <is>
          <t>BFSI</t>
        </is>
      </c>
      <c r="B12" s="17" t="n">
        <v>14</v>
      </c>
      <c r="C12" s="17" t="n">
        <v>11</v>
      </c>
      <c r="D12" s="18">
        <f>C12/B12</f>
        <v/>
      </c>
      <c r="F12" s="16" t="inlineStr">
        <is>
          <t>Tech Support</t>
        </is>
      </c>
      <c r="G12" s="17" t="n">
        <v>7</v>
      </c>
      <c r="H12" s="17" t="n">
        <v>7</v>
      </c>
      <c r="I12" s="18">
        <f>H12/G12</f>
        <v/>
      </c>
    </row>
    <row r="13">
      <c r="A13" s="13" t="inlineStr">
        <is>
          <t>Tech SS</t>
        </is>
      </c>
      <c r="B13" s="14" t="n">
        <v>12</v>
      </c>
      <c r="C13" s="14" t="n">
        <v>11</v>
      </c>
      <c r="D13" s="15">
        <f>C13/B13</f>
        <v/>
      </c>
      <c r="F13" s="16" t="inlineStr">
        <is>
          <t>AI Engineering</t>
        </is>
      </c>
      <c r="G13" s="17" t="n">
        <v>6</v>
      </c>
      <c r="H13" s="17" t="n">
        <v>5</v>
      </c>
      <c r="I13" s="18">
        <f>H13/G13</f>
        <v/>
      </c>
    </row>
    <row r="14">
      <c r="A14" s="13" t="inlineStr">
        <is>
          <t>Japan Ops</t>
        </is>
      </c>
      <c r="B14" s="14" t="n">
        <v>9</v>
      </c>
      <c r="C14" s="14" t="n">
        <v>8</v>
      </c>
      <c r="D14" s="15">
        <f>C14/B14</f>
        <v/>
      </c>
      <c r="F14" s="13" t="inlineStr">
        <is>
          <t>Analyst</t>
        </is>
      </c>
      <c r="G14" s="14" t="n">
        <v>5</v>
      </c>
      <c r="H14" s="14" t="n">
        <v>4</v>
      </c>
      <c r="I14" s="15">
        <f>H14/G14</f>
        <v/>
      </c>
    </row>
    <row r="15">
      <c r="A15" s="16" t="inlineStr">
        <is>
          <t>SSG</t>
        </is>
      </c>
      <c r="B15" s="17" t="n">
        <v>5</v>
      </c>
      <c r="C15" s="17" t="n">
        <v>4</v>
      </c>
      <c r="D15" s="18">
        <f>C15/B15</f>
        <v/>
      </c>
      <c r="F15" s="19" t="inlineStr">
        <is>
          <t>Grand Total</t>
        </is>
      </c>
      <c r="G15" s="20">
        <f>SUM(G10:G14)</f>
        <v/>
      </c>
      <c r="H15" s="20">
        <f>SUM(H10:H14)</f>
        <v/>
      </c>
      <c r="I15" s="21">
        <f>H15/G15</f>
        <v/>
      </c>
    </row>
    <row r="16">
      <c r="A16" s="19" t="inlineStr">
        <is>
          <t>Grand Total</t>
        </is>
      </c>
      <c r="B16" s="20">
        <f>SUM(B10:B15)</f>
        <v/>
      </c>
      <c r="C16" s="20">
        <f>SUM(C10:C15)</f>
        <v/>
      </c>
      <c r="D16" s="21">
        <f>C16/B16</f>
        <v/>
      </c>
    </row>
    <row r="17"/>
    <row r="18">
      <c r="A18" s="10" t="inlineStr">
        <is>
          <t>SECTION 6: RMG SUMMARY</t>
        </is>
      </c>
      <c r="F18" s="10" t="inlineStr">
        <is>
          <t>SECTION 3: STREAM FULFILMENT ANALYSIS</t>
        </is>
      </c>
    </row>
    <row r="19">
      <c r="A19" s="11" t="inlineStr">
        <is>
          <t>Source Category</t>
        </is>
      </c>
      <c r="B19" s="12" t="inlineStr">
        <is>
          <t>Demand Count</t>
        </is>
      </c>
      <c r="C19" s="12" t="inlineStr">
        <is>
          <t>Supply Completed</t>
        </is>
      </c>
      <c r="D19" s="12" t="inlineStr">
        <is>
          <t>Fulfilment %</t>
        </is>
      </c>
      <c r="F19" s="11" t="inlineStr">
        <is>
          <t>Demand Stream</t>
        </is>
      </c>
      <c r="G19" s="12" t="inlineStr">
        <is>
          <t>Demand Count</t>
        </is>
      </c>
      <c r="H19" s="12" t="inlineStr">
        <is>
          <t>Mapped To Same Stream</t>
        </is>
      </c>
      <c r="I19" s="12" t="inlineStr">
        <is>
          <t>Same Stream Mapping %</t>
        </is>
      </c>
    </row>
    <row r="20">
      <c r="A20" s="16" t="inlineStr">
        <is>
          <t>RMG Demand / Supply</t>
        </is>
      </c>
      <c r="B20" s="17" t="n">
        <v>31</v>
      </c>
      <c r="C20" s="17" t="n">
        <v>26</v>
      </c>
      <c r="D20" s="18">
        <f>C20/B20</f>
        <v/>
      </c>
      <c r="F20" s="16" t="inlineStr">
        <is>
          <t>AI Engineering</t>
        </is>
      </c>
      <c r="G20" s="17" t="n">
        <v>6</v>
      </c>
      <c r="H20" s="17" t="n">
        <v>5</v>
      </c>
      <c r="I20" s="18">
        <f>H20/G20</f>
        <v/>
      </c>
    </row>
    <row r="21">
      <c r="A21" s="13" t="inlineStr">
        <is>
          <t>Others / Direct BU Requirements</t>
        </is>
      </c>
      <c r="B21" s="14" t="n">
        <v>45</v>
      </c>
      <c r="C21" s="14" t="n">
        <v>38</v>
      </c>
      <c r="D21" s="15">
        <f>C21/B21</f>
        <v/>
      </c>
      <c r="F21" s="13" t="inlineStr">
        <is>
          <t>Angular</t>
        </is>
      </c>
      <c r="G21" s="14" t="n">
        <v>8</v>
      </c>
      <c r="H21" s="14" t="n">
        <v>7</v>
      </c>
      <c r="I21" s="15">
        <f>H21/G21</f>
        <v/>
      </c>
    </row>
    <row r="22">
      <c r="A22" s="19" t="inlineStr">
        <is>
          <t>Total Supply</t>
        </is>
      </c>
      <c r="B22" s="20">
        <f>SUM(B20:B21)</f>
        <v/>
      </c>
      <c r="C22" s="20">
        <f>SUM(C20:C21)</f>
        <v/>
      </c>
      <c r="D22" s="21">
        <f>C22/B22</f>
        <v/>
      </c>
      <c r="F22" s="16" t="inlineStr">
        <is>
          <t>Devops</t>
        </is>
      </c>
      <c r="G22" s="17" t="n">
        <v>7</v>
      </c>
      <c r="H22" s="17" t="n">
        <v>7</v>
      </c>
      <c r="I22" s="18">
        <f>H22/G22</f>
        <v/>
      </c>
    </row>
    <row r="23">
      <c r="F23" s="13" t="inlineStr">
        <is>
          <t>DotNet</t>
        </is>
      </c>
      <c r="G23" s="14" t="n">
        <v>10</v>
      </c>
      <c r="H23" s="14" t="n">
        <v>8</v>
      </c>
      <c r="I23" s="15">
        <f>H23/G23</f>
        <v/>
      </c>
    </row>
    <row r="24">
      <c r="F24" s="16" t="inlineStr">
        <is>
          <t>PLSQL</t>
        </is>
      </c>
      <c r="G24" s="17" t="n">
        <v>6</v>
      </c>
      <c r="H24" s="17" t="n">
        <v>5</v>
      </c>
      <c r="I24" s="18">
        <f>H24/G24</f>
        <v/>
      </c>
    </row>
    <row r="25">
      <c r="F25" s="13" t="inlineStr">
        <is>
          <t>SpringBoot</t>
        </is>
      </c>
      <c r="G25" s="14" t="n">
        <v>12</v>
      </c>
      <c r="H25" s="14" t="n">
        <v>10</v>
      </c>
      <c r="I25" s="15">
        <f>H25/G25</f>
        <v/>
      </c>
    </row>
    <row r="26">
      <c r="F26" s="16" t="inlineStr">
        <is>
          <t>Test Automation</t>
        </is>
      </c>
      <c r="G26" s="17" t="n">
        <v>9</v>
      </c>
      <c r="H26" s="17" t="n">
        <v>8</v>
      </c>
      <c r="I26" s="18">
        <f>H26/G26</f>
        <v/>
      </c>
    </row>
    <row r="27">
      <c r="F27" s="13" t="inlineStr">
        <is>
          <t>Cloud</t>
        </is>
      </c>
      <c r="G27" s="14" t="n">
        <v>5</v>
      </c>
      <c r="H27" s="14" t="n">
        <v>4</v>
      </c>
      <c r="I27" s="15">
        <f>H27/G27</f>
        <v/>
      </c>
    </row>
    <row r="28">
      <c r="F28" s="16" t="inlineStr">
        <is>
          <t>Cyber Security</t>
        </is>
      </c>
      <c r="G28" s="17" t="n">
        <v>5</v>
      </c>
      <c r="H28" s="17" t="n">
        <v>4</v>
      </c>
      <c r="I28" s="18">
        <f>H28/G28</f>
        <v/>
      </c>
    </row>
    <row r="29">
      <c r="F29" s="13" t="inlineStr">
        <is>
          <t>Data Engineering</t>
        </is>
      </c>
      <c r="G29" s="14" t="n">
        <v>8</v>
      </c>
      <c r="H29" s="14" t="n">
        <v>6</v>
      </c>
      <c r="I29" s="15">
        <f>H29/G29</f>
        <v/>
      </c>
    </row>
    <row r="30">
      <c r="F30" s="19" t="inlineStr">
        <is>
          <t>Grand Total</t>
        </is>
      </c>
      <c r="G30" s="20">
        <f>SUM(G20:G29)</f>
        <v/>
      </c>
      <c r="H30" s="20">
        <f>SUM(H20:H29)</f>
        <v/>
      </c>
      <c r="I30" s="21">
        <f>H30/G30</f>
        <v/>
      </c>
    </row>
    <row r="31"/>
    <row r="32">
      <c r="A32" s="10" t="inlineStr">
        <is>
          <t>SECTION 4: CROSS STREAM MAPPING MATRIX</t>
        </is>
      </c>
    </row>
    <row r="33">
      <c r="A33" s="11" t="inlineStr">
        <is>
          <t>Demand Stream \ Mapped Stream</t>
        </is>
      </c>
      <c r="B33" s="12" t="inlineStr">
        <is>
          <t>AI Engineering</t>
        </is>
      </c>
      <c r="C33" s="12" t="inlineStr">
        <is>
          <t>Angular</t>
        </is>
      </c>
      <c r="D33" s="12" t="inlineStr">
        <is>
          <t>Devops</t>
        </is>
      </c>
      <c r="E33" s="12" t="inlineStr">
        <is>
          <t>DotNet</t>
        </is>
      </c>
      <c r="F33" s="12" t="inlineStr">
        <is>
          <t>PLSQL</t>
        </is>
      </c>
      <c r="G33" s="12" t="inlineStr">
        <is>
          <t>SpringBoot</t>
        </is>
      </c>
      <c r="H33" s="12" t="inlineStr">
        <is>
          <t>Test Automation</t>
        </is>
      </c>
      <c r="I33" s="12" t="inlineStr">
        <is>
          <t>Cloud</t>
        </is>
      </c>
      <c r="J33" s="12" t="inlineStr">
        <is>
          <t>Cyber Security</t>
        </is>
      </c>
      <c r="K33" s="12" t="inlineStr">
        <is>
          <t>Data Engineering</t>
        </is>
      </c>
      <c r="L33" s="22" t="inlineStr">
        <is>
          <t>Total Mapped</t>
        </is>
      </c>
    </row>
    <row r="34">
      <c r="A34" s="23" t="inlineStr">
        <is>
          <t>AI Engineering</t>
        </is>
      </c>
      <c r="B34" s="24" t="n">
        <v>5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25">
        <f>SUM(B34:K34)</f>
        <v/>
      </c>
    </row>
    <row r="35">
      <c r="A35" s="23" t="inlineStr">
        <is>
          <t>Angular</t>
        </is>
      </c>
      <c r="B35" s="17" t="n">
        <v>0</v>
      </c>
      <c r="C35" s="24" t="n">
        <v>7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25">
        <f>SUM(B35:K35)</f>
        <v/>
      </c>
    </row>
    <row r="36">
      <c r="A36" s="23" t="inlineStr">
        <is>
          <t>Devops</t>
        </is>
      </c>
      <c r="B36" s="17" t="n">
        <v>0</v>
      </c>
      <c r="C36" s="17" t="n">
        <v>0</v>
      </c>
      <c r="D36" s="24" t="n">
        <v>7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25">
        <f>SUM(B36:K36)</f>
        <v/>
      </c>
    </row>
    <row r="37">
      <c r="A37" s="23" t="inlineStr">
        <is>
          <t>DotNet</t>
        </is>
      </c>
      <c r="B37" s="17" t="n">
        <v>0</v>
      </c>
      <c r="C37" s="17" t="n">
        <v>0</v>
      </c>
      <c r="D37" s="17" t="n">
        <v>0</v>
      </c>
      <c r="E37" s="24" t="n">
        <v>8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25">
        <f>SUM(B37:K37)</f>
        <v/>
      </c>
    </row>
    <row r="38">
      <c r="A38" s="23" t="inlineStr">
        <is>
          <t>PLSQL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24" t="n">
        <v>5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25">
        <f>SUM(B38:K38)</f>
        <v/>
      </c>
    </row>
    <row r="39">
      <c r="A39" s="23" t="inlineStr">
        <is>
          <t>SpringBoot</t>
        </is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24" t="n">
        <v>10</v>
      </c>
      <c r="H39" s="17" t="n">
        <v>0</v>
      </c>
      <c r="I39" s="17" t="n">
        <v>0</v>
      </c>
      <c r="J39" s="17" t="n">
        <v>0</v>
      </c>
      <c r="K39" s="17" t="n">
        <v>0</v>
      </c>
      <c r="L39" s="25">
        <f>SUM(B39:K39)</f>
        <v/>
      </c>
    </row>
    <row r="40">
      <c r="A40" s="23" t="inlineStr">
        <is>
          <t>Test Automation</t>
        </is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24" t="n">
        <v>8</v>
      </c>
      <c r="I40" s="17" t="n">
        <v>0</v>
      </c>
      <c r="J40" s="17" t="n">
        <v>0</v>
      </c>
      <c r="K40" s="17" t="n">
        <v>0</v>
      </c>
      <c r="L40" s="25">
        <f>SUM(B40:K40)</f>
        <v/>
      </c>
    </row>
    <row r="41">
      <c r="A41" s="23" t="inlineStr">
        <is>
          <t>Cloud</t>
        </is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24" t="n">
        <v>4</v>
      </c>
      <c r="J41" s="17" t="n">
        <v>0</v>
      </c>
      <c r="K41" s="17" t="n">
        <v>0</v>
      </c>
      <c r="L41" s="25">
        <f>SUM(B41:K41)</f>
        <v/>
      </c>
    </row>
    <row r="42">
      <c r="A42" s="23" t="inlineStr">
        <is>
          <t>Cyber Security</t>
        </is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24" t="n">
        <v>4</v>
      </c>
      <c r="K42" s="17" t="n">
        <v>0</v>
      </c>
      <c r="L42" s="25">
        <f>SUM(B42:K42)</f>
        <v/>
      </c>
    </row>
    <row r="43">
      <c r="A43" s="23" t="inlineStr">
        <is>
          <t>Data Engineering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24" t="n">
        <v>6</v>
      </c>
      <c r="L43" s="25">
        <f>SUM(B43:K43)</f>
        <v/>
      </c>
    </row>
    <row r="44">
      <c r="A44" s="19" t="inlineStr">
        <is>
          <t>Total Allocated</t>
        </is>
      </c>
      <c r="B44" s="20">
        <f>SUM(B34:B43)</f>
        <v/>
      </c>
      <c r="C44" s="20">
        <f>SUM(C34:C43)</f>
        <v/>
      </c>
      <c r="D44" s="20">
        <f>SUM(D34:D43)</f>
        <v/>
      </c>
      <c r="E44" s="20">
        <f>SUM(E34:E43)</f>
        <v/>
      </c>
      <c r="F44" s="20">
        <f>SUM(F34:F43)</f>
        <v/>
      </c>
      <c r="G44" s="20">
        <f>SUM(G34:G43)</f>
        <v/>
      </c>
      <c r="H44" s="20">
        <f>SUM(H34:H43)</f>
        <v/>
      </c>
      <c r="I44" s="20">
        <f>SUM(I34:I43)</f>
        <v/>
      </c>
      <c r="J44" s="20">
        <f>SUM(J34:J43)</f>
        <v/>
      </c>
      <c r="K44" s="20">
        <f>SUM(K34:K43)</f>
        <v/>
      </c>
      <c r="L44" s="20">
        <f>SUM(L34:L43)</f>
        <v/>
      </c>
    </row>
  </sheetData>
  <mergeCells count="17">
    <mergeCell ref="A1:N2"/>
    <mergeCell ref="D6:E6"/>
    <mergeCell ref="A18:D18"/>
    <mergeCell ref="A3:N3"/>
    <mergeCell ref="A8:D8"/>
    <mergeCell ref="F18:I18"/>
    <mergeCell ref="J5:K5"/>
    <mergeCell ref="J6:K6"/>
    <mergeCell ref="M6:N6"/>
    <mergeCell ref="F8:I8"/>
    <mergeCell ref="D5:E5"/>
    <mergeCell ref="A5:B5"/>
    <mergeCell ref="G5:H5"/>
    <mergeCell ref="A32:L32"/>
    <mergeCell ref="M5:N5"/>
    <mergeCell ref="G6:H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9" customWidth="1" min="3" max="3"/>
    <col width="20" customWidth="1" min="4" max="4"/>
    <col width="13" customWidth="1" min="5" max="5"/>
    <col width="18" customWidth="1" min="6" max="6"/>
    <col width="21" customWidth="1" min="7" max="7"/>
    <col width="23" customWidth="1" min="8" max="8"/>
    <col width="14" customWidth="1" min="9" max="9"/>
    <col width="12" customWidth="1" min="10" max="10"/>
    <col width="16" customWidth="1" min="11" max="11"/>
    <col width="13" customWidth="1" min="12" max="12"/>
    <col width="21" customWidth="1" min="13" max="13"/>
    <col width="20" customWidth="1" min="14" max="14"/>
    <col width="14" customWidth="1" min="15" max="15"/>
  </cols>
  <sheetData>
    <row r="1">
      <c r="A1" s="26" t="inlineStr">
        <is>
          <t>BG</t>
        </is>
      </c>
      <c r="B1" s="26" t="inlineStr">
        <is>
          <t>ISU/HSU</t>
        </is>
      </c>
      <c r="C1" s="26" t="inlineStr">
        <is>
          <t>Project Name</t>
        </is>
      </c>
      <c r="D1" s="26" t="inlineStr">
        <is>
          <t>Stream</t>
        </is>
      </c>
      <c r="E1" s="26" t="inlineStr">
        <is>
          <t>Location</t>
        </is>
      </c>
      <c r="F1" s="26" t="inlineStr">
        <is>
          <t>Role</t>
        </is>
      </c>
      <c r="G1" s="26" t="inlineStr">
        <is>
          <t>Project SPOC Name</t>
        </is>
      </c>
      <c r="H1" s="26" t="inlineStr">
        <is>
          <t>Project SPOC Emp ID</t>
        </is>
      </c>
      <c r="I1" s="26" t="inlineStr">
        <is>
          <t>RMG Head</t>
        </is>
      </c>
      <c r="J1" s="26" t="inlineStr">
        <is>
          <t>RGS ID</t>
        </is>
      </c>
      <c r="K1" s="26" t="inlineStr">
        <is>
          <t>Demand Count</t>
        </is>
      </c>
      <c r="L1" s="26" t="inlineStr">
        <is>
          <t>Shared By</t>
        </is>
      </c>
      <c r="M1" s="26" t="inlineStr">
        <is>
          <t>Pending/Confirmed</t>
        </is>
      </c>
      <c r="N1" s="26" t="inlineStr">
        <is>
          <t>Supply Completed</t>
        </is>
      </c>
      <c r="O1" s="26" t="inlineStr">
        <is>
          <t>Batch</t>
        </is>
      </c>
    </row>
    <row r="2">
      <c r="A2" s="27" t="inlineStr">
        <is>
          <t>CBG</t>
        </is>
      </c>
      <c r="B2" s="27" t="inlineStr">
        <is>
          <t>Banking</t>
        </is>
      </c>
      <c r="C2" s="16" t="inlineStr">
        <is>
          <t>Payment Modernization</t>
        </is>
      </c>
      <c r="D2" s="27" t="inlineStr">
        <is>
          <t>SpringBoot</t>
        </is>
      </c>
      <c r="E2" s="16" t="inlineStr">
        <is>
          <t>Hyderabad</t>
        </is>
      </c>
      <c r="F2" s="27" t="inlineStr">
        <is>
          <t>Developer</t>
        </is>
      </c>
      <c r="G2" s="16" t="inlineStr"/>
      <c r="H2" s="27" t="inlineStr">
        <is>
          <t>E101</t>
        </is>
      </c>
      <c r="I2" s="27" t="inlineStr">
        <is>
          <t>RMG Lead 1</t>
        </is>
      </c>
      <c r="J2" s="27" t="inlineStr">
        <is>
          <t>RGS-001</t>
        </is>
      </c>
      <c r="K2" s="17" t="n">
        <v>12</v>
      </c>
      <c r="L2" s="27" t="inlineStr">
        <is>
          <t>Direct BU</t>
        </is>
      </c>
      <c r="M2" s="27" t="inlineStr">
        <is>
          <t>Confirmed</t>
        </is>
      </c>
      <c r="N2" s="17" t="n">
        <v>10</v>
      </c>
      <c r="O2" s="27" t="inlineStr">
        <is>
          <t>Batch-2026</t>
        </is>
      </c>
    </row>
    <row r="3">
      <c r="A3" s="28" t="inlineStr">
        <is>
          <t>CBG</t>
        </is>
      </c>
      <c r="B3" s="28" t="inlineStr">
        <is>
          <t>Banking</t>
        </is>
      </c>
      <c r="C3" s="13" t="inlineStr">
        <is>
          <t>Omnichannel Banking</t>
        </is>
      </c>
      <c r="D3" s="28" t="inlineStr">
        <is>
          <t>Angular</t>
        </is>
      </c>
      <c r="E3" s="13" t="inlineStr">
        <is>
          <t>Bangalore</t>
        </is>
      </c>
      <c r="F3" s="28" t="inlineStr">
        <is>
          <t>Developer</t>
        </is>
      </c>
      <c r="G3" s="13" t="inlineStr"/>
      <c r="H3" s="28" t="inlineStr">
        <is>
          <t>E101</t>
        </is>
      </c>
      <c r="I3" s="28" t="inlineStr">
        <is>
          <t>RMG Lead 1</t>
        </is>
      </c>
      <c r="J3" s="28" t="inlineStr">
        <is>
          <t>RGS-002</t>
        </is>
      </c>
      <c r="K3" s="14" t="n">
        <v>8</v>
      </c>
      <c r="L3" s="28" t="inlineStr">
        <is>
          <t>Direct BU</t>
        </is>
      </c>
      <c r="M3" s="28" t="inlineStr">
        <is>
          <t>Confirmed</t>
        </is>
      </c>
      <c r="N3" s="14" t="n">
        <v>7</v>
      </c>
      <c r="O3" s="28" t="inlineStr">
        <is>
          <t>Batch-2026</t>
        </is>
      </c>
    </row>
    <row r="4">
      <c r="A4" s="27" t="inlineStr">
        <is>
          <t>Growth Markets</t>
        </is>
      </c>
      <c r="B4" s="27" t="inlineStr">
        <is>
          <t>Insurance</t>
        </is>
      </c>
      <c r="C4" s="16" t="inlineStr">
        <is>
          <t>Claims AI Engine</t>
        </is>
      </c>
      <c r="D4" s="27" t="inlineStr">
        <is>
          <t>AI Engineering</t>
        </is>
      </c>
      <c r="E4" s="16" t="inlineStr">
        <is>
          <t>Hyderabad</t>
        </is>
      </c>
      <c r="F4" s="27" t="inlineStr">
        <is>
          <t>AI Engineering</t>
        </is>
      </c>
      <c r="G4" s="16" t="inlineStr"/>
      <c r="H4" s="27" t="inlineStr">
        <is>
          <t>E102</t>
        </is>
      </c>
      <c r="I4" s="27" t="inlineStr">
        <is>
          <t>RMG Lead 2</t>
        </is>
      </c>
      <c r="J4" s="27" t="inlineStr">
        <is>
          <t>RGS-003</t>
        </is>
      </c>
      <c r="K4" s="17" t="n">
        <v>6</v>
      </c>
      <c r="L4" s="27" t="inlineStr">
        <is>
          <t>RMG</t>
        </is>
      </c>
      <c r="M4" s="27" t="inlineStr">
        <is>
          <t>Confirmed</t>
        </is>
      </c>
      <c r="N4" s="17" t="n">
        <v>5</v>
      </c>
      <c r="O4" s="27" t="inlineStr">
        <is>
          <t>Batch-2026</t>
        </is>
      </c>
    </row>
    <row r="5">
      <c r="A5" s="28" t="inlineStr">
        <is>
          <t>Growth Markets</t>
        </is>
      </c>
      <c r="B5" s="28" t="inlineStr">
        <is>
          <t>Retail</t>
        </is>
      </c>
      <c r="C5" s="13" t="inlineStr">
        <is>
          <t>E-Commerce Platform</t>
        </is>
      </c>
      <c r="D5" s="28" t="inlineStr">
        <is>
          <t>DotNet</t>
        </is>
      </c>
      <c r="E5" s="13" t="inlineStr">
        <is>
          <t>Chennai</t>
        </is>
      </c>
      <c r="F5" s="28" t="inlineStr">
        <is>
          <t>Developer</t>
        </is>
      </c>
      <c r="G5" s="13" t="inlineStr"/>
      <c r="H5" s="28" t="inlineStr">
        <is>
          <t>E102</t>
        </is>
      </c>
      <c r="I5" s="28" t="inlineStr">
        <is>
          <t>RMG Lead 2</t>
        </is>
      </c>
      <c r="J5" s="28" t="inlineStr">
        <is>
          <t>RGS-004</t>
        </is>
      </c>
      <c r="K5" s="14" t="n">
        <v>10</v>
      </c>
      <c r="L5" s="28" t="inlineStr">
        <is>
          <t>RMG</t>
        </is>
      </c>
      <c r="M5" s="28" t="inlineStr">
        <is>
          <t>Pending</t>
        </is>
      </c>
      <c r="N5" s="14" t="n">
        <v>8</v>
      </c>
      <c r="O5" s="28" t="inlineStr">
        <is>
          <t>Batch-2026</t>
        </is>
      </c>
    </row>
    <row r="6">
      <c r="A6" s="27" t="inlineStr">
        <is>
          <t>Tech SS</t>
        </is>
      </c>
      <c r="B6" s="27" t="inlineStr">
        <is>
          <t>DevOps Hub</t>
        </is>
      </c>
      <c r="C6" s="16" t="inlineStr">
        <is>
          <t>Cloud Platform Automation</t>
        </is>
      </c>
      <c r="D6" s="27" t="inlineStr">
        <is>
          <t>Devops</t>
        </is>
      </c>
      <c r="E6" s="16" t="inlineStr">
        <is>
          <t>Pune</t>
        </is>
      </c>
      <c r="F6" s="27" t="inlineStr">
        <is>
          <t>Tech Support</t>
        </is>
      </c>
      <c r="G6" s="16" t="inlineStr"/>
      <c r="H6" s="27" t="inlineStr">
        <is>
          <t>E103</t>
        </is>
      </c>
      <c r="I6" s="27" t="inlineStr">
        <is>
          <t>RMG Lead 1</t>
        </is>
      </c>
      <c r="J6" s="27" t="inlineStr">
        <is>
          <t>RGS-005</t>
        </is>
      </c>
      <c r="K6" s="17" t="n">
        <v>7</v>
      </c>
      <c r="L6" s="27" t="inlineStr">
        <is>
          <t>Direct BU</t>
        </is>
      </c>
      <c r="M6" s="27" t="inlineStr">
        <is>
          <t>Confirmed</t>
        </is>
      </c>
      <c r="N6" s="17" t="n">
        <v>7</v>
      </c>
      <c r="O6" s="27" t="inlineStr">
        <is>
          <t>Batch-2026</t>
        </is>
      </c>
    </row>
    <row r="7">
      <c r="A7" s="28" t="inlineStr">
        <is>
          <t>Tech SS</t>
        </is>
      </c>
      <c r="B7" s="28" t="inlineStr">
        <is>
          <t>Security COE</t>
        </is>
      </c>
      <c r="C7" s="13" t="inlineStr">
        <is>
          <t>SOC Threat Monitoring</t>
        </is>
      </c>
      <c r="D7" s="28" t="inlineStr">
        <is>
          <t>Cyber Security</t>
        </is>
      </c>
      <c r="E7" s="13" t="inlineStr">
        <is>
          <t>Pune</t>
        </is>
      </c>
      <c r="F7" s="28" t="inlineStr">
        <is>
          <t>Analyst</t>
        </is>
      </c>
      <c r="G7" s="13" t="inlineStr"/>
      <c r="H7" s="28" t="inlineStr">
        <is>
          <t>E103</t>
        </is>
      </c>
      <c r="I7" s="28" t="inlineStr">
        <is>
          <t>RMG Lead 1</t>
        </is>
      </c>
      <c r="J7" s="28" t="inlineStr">
        <is>
          <t>RGS-006</t>
        </is>
      </c>
      <c r="K7" s="14" t="n">
        <v>5</v>
      </c>
      <c r="L7" s="28" t="inlineStr">
        <is>
          <t>Direct BU</t>
        </is>
      </c>
      <c r="M7" s="28" t="inlineStr">
        <is>
          <t>Confirmed</t>
        </is>
      </c>
      <c r="N7" s="14" t="n">
        <v>4</v>
      </c>
      <c r="O7" s="28" t="inlineStr">
        <is>
          <t>Batch-2026</t>
        </is>
      </c>
    </row>
    <row r="8">
      <c r="A8" s="27" t="inlineStr">
        <is>
          <t>Japan Ops</t>
        </is>
      </c>
      <c r="B8" s="27" t="inlineStr">
        <is>
          <t>QA Services</t>
        </is>
      </c>
      <c r="C8" s="16" t="inlineStr">
        <is>
          <t>Core QA Automation</t>
        </is>
      </c>
      <c r="D8" s="27" t="inlineStr">
        <is>
          <t>Test Automation</t>
        </is>
      </c>
      <c r="E8" s="16" t="inlineStr">
        <is>
          <t>Chennai</t>
        </is>
      </c>
      <c r="F8" s="27" t="inlineStr">
        <is>
          <t>QA</t>
        </is>
      </c>
      <c r="G8" s="16" t="inlineStr"/>
      <c r="H8" s="27" t="inlineStr">
        <is>
          <t>E104</t>
        </is>
      </c>
      <c r="I8" s="27" t="inlineStr">
        <is>
          <t>RMG Lead 3</t>
        </is>
      </c>
      <c r="J8" s="27" t="inlineStr">
        <is>
          <t>RGS-007</t>
        </is>
      </c>
      <c r="K8" s="17" t="n">
        <v>9</v>
      </c>
      <c r="L8" s="27" t="inlineStr">
        <is>
          <t>RMG</t>
        </is>
      </c>
      <c r="M8" s="27" t="inlineStr">
        <is>
          <t>Confirmed</t>
        </is>
      </c>
      <c r="N8" s="17" t="n">
        <v>8</v>
      </c>
      <c r="O8" s="27" t="inlineStr">
        <is>
          <t>Batch-2026</t>
        </is>
      </c>
    </row>
    <row r="9">
      <c r="A9" s="28" t="inlineStr">
        <is>
          <t>BFSI</t>
        </is>
      </c>
      <c r="B9" s="28" t="inlineStr">
        <is>
          <t>Data Platform</t>
        </is>
      </c>
      <c r="C9" s="13" t="inlineStr">
        <is>
          <t>Lakehouse Migration</t>
        </is>
      </c>
      <c r="D9" s="28" t="inlineStr">
        <is>
          <t>Data Engineering</t>
        </is>
      </c>
      <c r="E9" s="13" t="inlineStr">
        <is>
          <t>Bangalore</t>
        </is>
      </c>
      <c r="F9" s="28" t="inlineStr">
        <is>
          <t>Developer</t>
        </is>
      </c>
      <c r="G9" s="13" t="inlineStr"/>
      <c r="H9" s="28" t="inlineStr">
        <is>
          <t>E105</t>
        </is>
      </c>
      <c r="I9" s="28" t="inlineStr">
        <is>
          <t>RMG Lead 3</t>
        </is>
      </c>
      <c r="J9" s="28" t="inlineStr">
        <is>
          <t>RGS-008</t>
        </is>
      </c>
      <c r="K9" s="14" t="n">
        <v>8</v>
      </c>
      <c r="L9" s="28" t="inlineStr">
        <is>
          <t>Direct BU</t>
        </is>
      </c>
      <c r="M9" s="28" t="inlineStr">
        <is>
          <t>Confirmed</t>
        </is>
      </c>
      <c r="N9" s="14" t="n">
        <v>6</v>
      </c>
      <c r="O9" s="28" t="inlineStr">
        <is>
          <t>Batch-2026</t>
        </is>
      </c>
    </row>
    <row r="10">
      <c r="A10" s="27" t="inlineStr">
        <is>
          <t>BFSI</t>
        </is>
      </c>
      <c r="B10" s="27" t="inlineStr">
        <is>
          <t>Database Operations</t>
        </is>
      </c>
      <c r="C10" s="16" t="inlineStr">
        <is>
          <t>Core OLTP Warehouse</t>
        </is>
      </c>
      <c r="D10" s="27" t="inlineStr">
        <is>
          <t>PLSQL</t>
        </is>
      </c>
      <c r="E10" s="16" t="inlineStr">
        <is>
          <t>Kolkata</t>
        </is>
      </c>
      <c r="F10" s="27" t="inlineStr">
        <is>
          <t>Developer</t>
        </is>
      </c>
      <c r="G10" s="16" t="inlineStr"/>
      <c r="H10" s="27" t="inlineStr">
        <is>
          <t>E105</t>
        </is>
      </c>
      <c r="I10" s="27" t="inlineStr">
        <is>
          <t>RMG Lead 3</t>
        </is>
      </c>
      <c r="J10" s="27" t="inlineStr">
        <is>
          <t>RGS-009</t>
        </is>
      </c>
      <c r="K10" s="17" t="n">
        <v>6</v>
      </c>
      <c r="L10" s="27" t="inlineStr">
        <is>
          <t>RMG</t>
        </is>
      </c>
      <c r="M10" s="27" t="inlineStr">
        <is>
          <t>Confirmed</t>
        </is>
      </c>
      <c r="N10" s="17" t="n">
        <v>5</v>
      </c>
      <c r="O10" s="27" t="inlineStr">
        <is>
          <t>Batch-2026</t>
        </is>
      </c>
    </row>
    <row r="11">
      <c r="A11" s="28" t="inlineStr">
        <is>
          <t>SSG</t>
        </is>
      </c>
      <c r="B11" s="28" t="inlineStr">
        <is>
          <t>Cloud Architecture</t>
        </is>
      </c>
      <c r="C11" s="13" t="inlineStr">
        <is>
          <t>Multi-Cloud Foundation</t>
        </is>
      </c>
      <c r="D11" s="28" t="inlineStr">
        <is>
          <t>Cloud</t>
        </is>
      </c>
      <c r="E11" s="13" t="inlineStr">
        <is>
          <t>Mumbai</t>
        </is>
      </c>
      <c r="F11" s="28" t="inlineStr">
        <is>
          <t>Developer</t>
        </is>
      </c>
      <c r="G11" s="13" t="inlineStr"/>
      <c r="H11" s="28" t="inlineStr">
        <is>
          <t>E106</t>
        </is>
      </c>
      <c r="I11" s="28" t="inlineStr">
        <is>
          <t>RMG Lead 2</t>
        </is>
      </c>
      <c r="J11" s="28" t="inlineStr">
        <is>
          <t>RGS-010</t>
        </is>
      </c>
      <c r="K11" s="14" t="n">
        <v>5</v>
      </c>
      <c r="L11" s="28" t="inlineStr">
        <is>
          <t>Direct BU</t>
        </is>
      </c>
      <c r="M11" s="28" t="inlineStr">
        <is>
          <t>Confirmed</t>
        </is>
      </c>
      <c r="N11" s="14" t="n">
        <v>4</v>
      </c>
      <c r="O11" s="28" t="inlineStr">
        <is>
          <t>Batch-2026</t>
        </is>
      </c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2026-09-06T11:21:54Z</dcterms:created>
  <dcterms:modified xmlns:dcterms="http://purl.org/dc/terms/" xmlns:xsi="http://www.w3.org/2001/XMLSchema-instance" xsi:type="dcterms:W3CDTF">2026-09-06T11:21:54Z</dcterms:modified>
</cp:coreProperties>
</file>